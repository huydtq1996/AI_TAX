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A4FF3FB-EFE8-477C-B607-7F5C8C6AE8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ổng hợp" sheetId="1" r:id="rId1"/>
    <sheet name="Doanh Thu (Thu)" sheetId="2" r:id="rId2"/>
    <sheet name="Chi Phí (Chi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B5" i="1"/>
  <c r="C4" i="1"/>
</calcChain>
</file>

<file path=xl/sharedStrings.xml><?xml version="1.0" encoding="utf-8"?>
<sst xmlns="http://schemas.openxmlformats.org/spreadsheetml/2006/main" count="420" uniqueCount="214">
  <si>
    <t>BÁO CÁO TỔNG HỢP THU CHI</t>
  </si>
  <si>
    <t>Chỉ tiêu</t>
  </si>
  <si>
    <t>Giá trị (VND)</t>
  </si>
  <si>
    <t>Tỷ lệ %</t>
  </si>
  <si>
    <t>Tổng Doanh Thu (Thu)</t>
  </si>
  <si>
    <t>100%</t>
  </si>
  <si>
    <t>Tổng Chi Phí (Chi)</t>
  </si>
  <si>
    <t>Lợi Nhuận Thuần</t>
  </si>
  <si>
    <t>STT</t>
  </si>
  <si>
    <t>Ngày</t>
  </si>
  <si>
    <t>Mã Đơn</t>
  </si>
  <si>
    <t>Khách Hàng</t>
  </si>
  <si>
    <t>Kênh Bán</t>
  </si>
  <si>
    <t>Số Tiền (VND)</t>
  </si>
  <si>
    <t>01/05/2024</t>
  </si>
  <si>
    <t>DH1001</t>
  </si>
  <si>
    <t>Khách hàng 01</t>
  </si>
  <si>
    <t>Đại lý</t>
  </si>
  <si>
    <t>DH1002</t>
  </si>
  <si>
    <t>Khách hàng 02</t>
  </si>
  <si>
    <t>Online</t>
  </si>
  <si>
    <t>02/05/2024</t>
  </si>
  <si>
    <t>DH1003</t>
  </si>
  <si>
    <t>Khách hàng 03</t>
  </si>
  <si>
    <t>Showroom</t>
  </si>
  <si>
    <t>DH1004</t>
  </si>
  <si>
    <t>Khách hàng 04</t>
  </si>
  <si>
    <t>03/05/2024</t>
  </si>
  <si>
    <t>DH1005</t>
  </si>
  <si>
    <t>Khách hàng 05</t>
  </si>
  <si>
    <t>DH1006</t>
  </si>
  <si>
    <t>Khách hàng 06</t>
  </si>
  <si>
    <t>04/05/2024</t>
  </si>
  <si>
    <t>DH1007</t>
  </si>
  <si>
    <t>Khách hàng 07</t>
  </si>
  <si>
    <t>DH1008</t>
  </si>
  <si>
    <t>Khách hàng 08</t>
  </si>
  <si>
    <t>05/05/2024</t>
  </si>
  <si>
    <t>DH1009</t>
  </si>
  <si>
    <t>Khách hàng 09</t>
  </si>
  <si>
    <t>DH1010</t>
  </si>
  <si>
    <t>Khách hàng 10</t>
  </si>
  <si>
    <t>06/05/2024</t>
  </si>
  <si>
    <t>DH1011</t>
  </si>
  <si>
    <t>Khách hàng 11</t>
  </si>
  <si>
    <t>DH1012</t>
  </si>
  <si>
    <t>Khách hàng 12</t>
  </si>
  <si>
    <t>07/05/2024</t>
  </si>
  <si>
    <t>DH1013</t>
  </si>
  <si>
    <t>Khách hàng 13</t>
  </si>
  <si>
    <t>DH1014</t>
  </si>
  <si>
    <t>Khách hàng 14</t>
  </si>
  <si>
    <t>08/05/2024</t>
  </si>
  <si>
    <t>DH1015</t>
  </si>
  <si>
    <t>Khách hàng 15</t>
  </si>
  <si>
    <t>DH1016</t>
  </si>
  <si>
    <t>Khách hàng 16</t>
  </si>
  <si>
    <t>09/05/2024</t>
  </si>
  <si>
    <t>DH1017</t>
  </si>
  <si>
    <t>Khách hàng 17</t>
  </si>
  <si>
    <t>DH1018</t>
  </si>
  <si>
    <t>Khách hàng 18</t>
  </si>
  <si>
    <t>10/05/2024</t>
  </si>
  <si>
    <t>DH1019</t>
  </si>
  <si>
    <t>Khách hàng 19</t>
  </si>
  <si>
    <t>DH1020</t>
  </si>
  <si>
    <t>Khách hàng 20</t>
  </si>
  <si>
    <t>11/05/2024</t>
  </si>
  <si>
    <t>DH1021</t>
  </si>
  <si>
    <t>Khách hàng 21</t>
  </si>
  <si>
    <t>DH1022</t>
  </si>
  <si>
    <t>Khách hàng 22</t>
  </si>
  <si>
    <t>12/05/2024</t>
  </si>
  <si>
    <t>DH1023</t>
  </si>
  <si>
    <t>Khách hàng 23</t>
  </si>
  <si>
    <t>DH1024</t>
  </si>
  <si>
    <t>Khách hàng 24</t>
  </si>
  <si>
    <t>13/05/2024</t>
  </si>
  <si>
    <t>DH1025</t>
  </si>
  <si>
    <t>Khách hàng 25</t>
  </si>
  <si>
    <t>DH1026</t>
  </si>
  <si>
    <t>Khách hàng 26</t>
  </si>
  <si>
    <t>14/05/2024</t>
  </si>
  <si>
    <t>DH1027</t>
  </si>
  <si>
    <t>Khách hàng 27</t>
  </si>
  <si>
    <t>DH1028</t>
  </si>
  <si>
    <t>Khách hàng 28</t>
  </si>
  <si>
    <t>15/05/2024</t>
  </si>
  <si>
    <t>DH1029</t>
  </si>
  <si>
    <t>Khách hàng 29</t>
  </si>
  <si>
    <t>DH1030</t>
  </si>
  <si>
    <t>Khách hàng 30</t>
  </si>
  <si>
    <t>16/05/2024</t>
  </si>
  <si>
    <t>DH1031</t>
  </si>
  <si>
    <t>Khách hàng 31</t>
  </si>
  <si>
    <t>DH1032</t>
  </si>
  <si>
    <t>Khách hàng 32</t>
  </si>
  <si>
    <t>17/05/2024</t>
  </si>
  <si>
    <t>DH1033</t>
  </si>
  <si>
    <t>Khách hàng 33</t>
  </si>
  <si>
    <t>DH1034</t>
  </si>
  <si>
    <t>Khách hàng 34</t>
  </si>
  <si>
    <t>18/05/2024</t>
  </si>
  <si>
    <t>DH1035</t>
  </si>
  <si>
    <t>Khách hàng 35</t>
  </si>
  <si>
    <t>DH1036</t>
  </si>
  <si>
    <t>Khách hàng 36</t>
  </si>
  <si>
    <t>19/05/2024</t>
  </si>
  <si>
    <t>DH1037</t>
  </si>
  <si>
    <t>Khách hàng 37</t>
  </si>
  <si>
    <t>DH1038</t>
  </si>
  <si>
    <t>Khách hàng 38</t>
  </si>
  <si>
    <t>20/05/2024</t>
  </si>
  <si>
    <t>DH1039</t>
  </si>
  <si>
    <t>Khách hàng 39</t>
  </si>
  <si>
    <t>DH1040</t>
  </si>
  <si>
    <t>Khách hàng 40</t>
  </si>
  <si>
    <t>21/05/2024</t>
  </si>
  <si>
    <t>DH1041</t>
  </si>
  <si>
    <t>Khách hàng 41</t>
  </si>
  <si>
    <t>DH1042</t>
  </si>
  <si>
    <t>Khách hàng 42</t>
  </si>
  <si>
    <t>22/05/2024</t>
  </si>
  <si>
    <t>DH1043</t>
  </si>
  <si>
    <t>Khách hàng 43</t>
  </si>
  <si>
    <t>DH1044</t>
  </si>
  <si>
    <t>Khách hàng 44</t>
  </si>
  <si>
    <t>23/05/2024</t>
  </si>
  <si>
    <t>DH1045</t>
  </si>
  <si>
    <t>Khách hàng 45</t>
  </si>
  <si>
    <t>DH1046</t>
  </si>
  <si>
    <t>Khách hàng 46</t>
  </si>
  <si>
    <t>24/05/2024</t>
  </si>
  <si>
    <t>DH1047</t>
  </si>
  <si>
    <t>Khách hàng 47</t>
  </si>
  <si>
    <t>DH1048</t>
  </si>
  <si>
    <t>Khách hàng 48</t>
  </si>
  <si>
    <t>25/05/2024</t>
  </si>
  <si>
    <t>DH1049</t>
  </si>
  <si>
    <t>Khách hàng 49</t>
  </si>
  <si>
    <t>DH1050</t>
  </si>
  <si>
    <t>Khách hàng 50</t>
  </si>
  <si>
    <t>Hạng Mục</t>
  </si>
  <si>
    <t>Nhà Cung Cấp</t>
  </si>
  <si>
    <t>Loại Chi Phí</t>
  </si>
  <si>
    <t>Nhập hàng lô 1</t>
  </si>
  <si>
    <t>NCC A</t>
  </si>
  <si>
    <t>Giá vốn</t>
  </si>
  <si>
    <t>Nhập hàng lô 2</t>
  </si>
  <si>
    <t>NCC B</t>
  </si>
  <si>
    <t>Nhập hàng lô 3</t>
  </si>
  <si>
    <t>NCC C</t>
  </si>
  <si>
    <t>Nhập hàng lô 4</t>
  </si>
  <si>
    <t>NCC D</t>
  </si>
  <si>
    <t>29/05/2024</t>
  </si>
  <si>
    <t>Nhập hàng lô 5</t>
  </si>
  <si>
    <t>NCC E</t>
  </si>
  <si>
    <t>Thuê mặt bằng T5</t>
  </si>
  <si>
    <t>BĐS Miền Nam</t>
  </si>
  <si>
    <t>Cố định</t>
  </si>
  <si>
    <t>Lương NV tháng 5</t>
  </si>
  <si>
    <t>Nhân sự</t>
  </si>
  <si>
    <t>Lương</t>
  </si>
  <si>
    <t>Marketing Agency</t>
  </si>
  <si>
    <t>Agency X</t>
  </si>
  <si>
    <t>Quảng cáo</t>
  </si>
  <si>
    <t>30/05/2024</t>
  </si>
  <si>
    <t>Chi phí vận hành 9</t>
  </si>
  <si>
    <t>Cửa hàng</t>
  </si>
  <si>
    <t>Vận hành</t>
  </si>
  <si>
    <t>Chi phí vận hành 10</t>
  </si>
  <si>
    <t>Chi phí vận hành 11</t>
  </si>
  <si>
    <t>Chi phí vận hành 12</t>
  </si>
  <si>
    <t>Chi phí vận hành 13</t>
  </si>
  <si>
    <t>Chi phí vận hành 14</t>
  </si>
  <si>
    <t>Chi phí vận hành 15</t>
  </si>
  <si>
    <t>Chi phí vận hành 16</t>
  </si>
  <si>
    <t>26/05/2024</t>
  </si>
  <si>
    <t>Chi phí vận hành 17</t>
  </si>
  <si>
    <t>Chi phí vận hành 18</t>
  </si>
  <si>
    <t>Chi phí vận hành 19</t>
  </si>
  <si>
    <t>Chi phí vận hành 20</t>
  </si>
  <si>
    <t>Chi phí vận hành 21</t>
  </si>
  <si>
    <t>Chi phí vận hành 22</t>
  </si>
  <si>
    <t>Chi phí vận hành 23</t>
  </si>
  <si>
    <t>Chi phí vận hành 24</t>
  </si>
  <si>
    <t>Chi phí vận hành 25</t>
  </si>
  <si>
    <t>Chi phí vận hành 26</t>
  </si>
  <si>
    <t>Chi phí vận hành 27</t>
  </si>
  <si>
    <t>Chi phí vận hành 28</t>
  </si>
  <si>
    <t>Chi phí vận hành 29</t>
  </si>
  <si>
    <t>Chi phí vận hành 30</t>
  </si>
  <si>
    <t>Chi phí vận hành 31</t>
  </si>
  <si>
    <t>Chi phí vận hành 32</t>
  </si>
  <si>
    <t>Chi phí vận hành 33</t>
  </si>
  <si>
    <t>Chi phí vận hành 34</t>
  </si>
  <si>
    <t>Chi phí vận hành 35</t>
  </si>
  <si>
    <t>Chi phí vận hành 36</t>
  </si>
  <si>
    <t>Chi phí vận hành 37</t>
  </si>
  <si>
    <t>28/05/2024</t>
  </si>
  <si>
    <t>Chi phí vận hành 38</t>
  </si>
  <si>
    <t>Chi phí vận hành 39</t>
  </si>
  <si>
    <t>Chi phí vận hành 40</t>
  </si>
  <si>
    <t>Chi phí vận hành 41</t>
  </si>
  <si>
    <t>Chi phí vận hành 42</t>
  </si>
  <si>
    <t>27/05/2024</t>
  </si>
  <si>
    <t>Chi phí vận hành 43</t>
  </si>
  <si>
    <t>Chi phí vận hành 44</t>
  </si>
  <si>
    <t>Chi phí vận hành 45</t>
  </si>
  <si>
    <t>Chi phí vận hành 46</t>
  </si>
  <si>
    <t>Chi phí vận hành 47</t>
  </si>
  <si>
    <t>Chi phí vận hành 48</t>
  </si>
  <si>
    <t>Chi phí vận hành 49</t>
  </si>
  <si>
    <t>Chi phí vận hành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</si>
</sst>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3" fontId="0" fillId="0" borderId="0" xfId="0" applyNumberFormat="1"/>
    <xf numFmtId="10" fontId="0" fillId="0" borderId="0" xfId="0" applyNumberForma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8" sqref="E8"/>
    </sheetView>
  </sheetViews>
  <sheetFormatPr defaultRowHeight="14.4" x14ac:dyDescent="0.3"/>
  <cols>
    <col min="1" max="1" width="25" customWidth="1"/>
    <col min="2" max="2" width="20" customWidth="1"/>
    <col min="3" max="3" width="15" customWidth="1"/>
  </cols>
  <sheetData>
    <row r="1" spans="1:3" ht="21" x14ac:dyDescent="0.3">
      <c r="A1" s="5" t="s">
        <v>0</v>
      </c>
      <c r="B1" s="6"/>
      <c r="C1" s="6"/>
    </row>
    <row r="2" spans="1:3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4</v>
      </c>
      <c r="B3" s="2">
        <v>5050000000</v>
      </c>
      <c r="C3" s="7" t="s">
        <v>5</v>
      </c>
    </row>
    <row r="4" spans="1:3" x14ac:dyDescent="0.3">
      <c r="A4" t="s">
        <v>6</v>
      </c>
      <c r="B4" s="2">
        <v>3075000000</v>
      </c>
      <c r="C4" s="3">
        <f>B4/B3</f>
        <v>0.6089108910891089</v>
      </c>
    </row>
    <row r="5" spans="1:3" x14ac:dyDescent="0.3">
      <c r="A5" t="s">
        <v>7</v>
      </c>
      <c r="B5" s="2">
        <f>B3-B4</f>
        <v>1975000000</v>
      </c>
      <c r="C5" s="3">
        <f>B5/B3</f>
        <v>0.3910891089108911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/>
  </sheetViews>
  <sheetFormatPr defaultRowHeight="14.4" x14ac:dyDescent="0.3"/>
  <cols>
    <col min="2" max="2" width="15" customWidth="1"/>
    <col min="3" max="4" width="20" customWidth="1"/>
    <col min="5" max="5" width="15" customWidth="1"/>
    <col min="6" max="6" width="18" customWidth="1"/>
  </cols>
  <sheetData>
    <row r="1" spans="1:6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</row>
    <row r="2" spans="1:6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s="2">
        <v>116409242</v>
      </c>
    </row>
    <row r="3" spans="1:6" x14ac:dyDescent="0.3">
      <c r="A3">
        <v>2</v>
      </c>
      <c r="B3" t="s">
        <v>14</v>
      </c>
      <c r="C3" t="s">
        <v>18</v>
      </c>
      <c r="D3" t="s">
        <v>19</v>
      </c>
      <c r="E3" t="s">
        <v>20</v>
      </c>
      <c r="F3" s="2">
        <v>82254253</v>
      </c>
    </row>
    <row r="4" spans="1:6" x14ac:dyDescent="0.3">
      <c r="A4">
        <v>3</v>
      </c>
      <c r="B4" t="s">
        <v>21</v>
      </c>
      <c r="C4" t="s">
        <v>22</v>
      </c>
      <c r="D4" t="s">
        <v>23</v>
      </c>
      <c r="E4" t="s">
        <v>24</v>
      </c>
      <c r="F4" s="2">
        <v>107588131</v>
      </c>
    </row>
    <row r="5" spans="1:6" x14ac:dyDescent="0.3">
      <c r="A5">
        <v>4</v>
      </c>
      <c r="B5" t="s">
        <v>21</v>
      </c>
      <c r="C5" t="s">
        <v>25</v>
      </c>
      <c r="D5" t="s">
        <v>26</v>
      </c>
      <c r="E5" t="s">
        <v>24</v>
      </c>
      <c r="F5" s="2">
        <v>108022305</v>
      </c>
    </row>
    <row r="6" spans="1:6" x14ac:dyDescent="0.3">
      <c r="A6">
        <v>5</v>
      </c>
      <c r="B6" t="s">
        <v>27</v>
      </c>
      <c r="C6" t="s">
        <v>28</v>
      </c>
      <c r="D6" t="s">
        <v>29</v>
      </c>
      <c r="E6" t="s">
        <v>24</v>
      </c>
      <c r="F6" s="2">
        <v>82841670</v>
      </c>
    </row>
    <row r="7" spans="1:6" x14ac:dyDescent="0.3">
      <c r="A7">
        <v>6</v>
      </c>
      <c r="B7" t="s">
        <v>27</v>
      </c>
      <c r="C7" t="s">
        <v>30</v>
      </c>
      <c r="D7" t="s">
        <v>31</v>
      </c>
      <c r="E7" t="s">
        <v>24</v>
      </c>
      <c r="F7" s="2">
        <v>113691480</v>
      </c>
    </row>
    <row r="8" spans="1:6" x14ac:dyDescent="0.3">
      <c r="A8">
        <v>7</v>
      </c>
      <c r="B8" t="s">
        <v>32</v>
      </c>
      <c r="C8" t="s">
        <v>33</v>
      </c>
      <c r="D8" t="s">
        <v>34</v>
      </c>
      <c r="E8" t="s">
        <v>24</v>
      </c>
      <c r="F8" s="2">
        <v>81536980</v>
      </c>
    </row>
    <row r="9" spans="1:6" x14ac:dyDescent="0.3">
      <c r="A9">
        <v>8</v>
      </c>
      <c r="B9" t="s">
        <v>32</v>
      </c>
      <c r="C9" t="s">
        <v>35</v>
      </c>
      <c r="D9" t="s">
        <v>36</v>
      </c>
      <c r="E9" t="s">
        <v>17</v>
      </c>
      <c r="F9" s="2">
        <v>98198739</v>
      </c>
    </row>
    <row r="10" spans="1:6" x14ac:dyDescent="0.3">
      <c r="A10">
        <v>9</v>
      </c>
      <c r="B10" t="s">
        <v>37</v>
      </c>
      <c r="C10" t="s">
        <v>38</v>
      </c>
      <c r="D10" t="s">
        <v>39</v>
      </c>
      <c r="E10" t="s">
        <v>17</v>
      </c>
      <c r="F10" s="2">
        <v>83193291</v>
      </c>
    </row>
    <row r="11" spans="1:6" x14ac:dyDescent="0.3">
      <c r="A11">
        <v>10</v>
      </c>
      <c r="B11" t="s">
        <v>37</v>
      </c>
      <c r="C11" t="s">
        <v>40</v>
      </c>
      <c r="D11" t="s">
        <v>41</v>
      </c>
      <c r="E11" t="s">
        <v>20</v>
      </c>
      <c r="F11" s="2">
        <v>81115089</v>
      </c>
    </row>
    <row r="12" spans="1:6" x14ac:dyDescent="0.3">
      <c r="A12">
        <v>11</v>
      </c>
      <c r="B12" t="s">
        <v>42</v>
      </c>
      <c r="C12" t="s">
        <v>43</v>
      </c>
      <c r="D12" t="s">
        <v>44</v>
      </c>
      <c r="E12" t="s">
        <v>24</v>
      </c>
      <c r="F12" s="2">
        <v>116594285</v>
      </c>
    </row>
    <row r="13" spans="1:6" x14ac:dyDescent="0.3">
      <c r="A13">
        <v>12</v>
      </c>
      <c r="B13" t="s">
        <v>42</v>
      </c>
      <c r="C13" t="s">
        <v>45</v>
      </c>
      <c r="D13" t="s">
        <v>46</v>
      </c>
      <c r="E13" t="s">
        <v>20</v>
      </c>
      <c r="F13" s="2">
        <v>85126596</v>
      </c>
    </row>
    <row r="14" spans="1:6" x14ac:dyDescent="0.3">
      <c r="A14">
        <v>13</v>
      </c>
      <c r="B14" t="s">
        <v>47</v>
      </c>
      <c r="C14" t="s">
        <v>48</v>
      </c>
      <c r="D14" t="s">
        <v>49</v>
      </c>
      <c r="E14" t="s">
        <v>24</v>
      </c>
      <c r="F14" s="2">
        <v>116479555</v>
      </c>
    </row>
    <row r="15" spans="1:6" x14ac:dyDescent="0.3">
      <c r="A15">
        <v>14</v>
      </c>
      <c r="B15" t="s">
        <v>47</v>
      </c>
      <c r="C15" t="s">
        <v>50</v>
      </c>
      <c r="D15" t="s">
        <v>51</v>
      </c>
      <c r="E15" t="s">
        <v>17</v>
      </c>
      <c r="F15" s="2">
        <v>116780437</v>
      </c>
    </row>
    <row r="16" spans="1:6" x14ac:dyDescent="0.3">
      <c r="A16">
        <v>15</v>
      </c>
      <c r="B16" t="s">
        <v>52</v>
      </c>
      <c r="C16" t="s">
        <v>53</v>
      </c>
      <c r="D16" t="s">
        <v>54</v>
      </c>
      <c r="E16" t="s">
        <v>20</v>
      </c>
      <c r="F16" s="2">
        <v>108529738</v>
      </c>
    </row>
    <row r="17" spans="1:6" x14ac:dyDescent="0.3">
      <c r="A17">
        <v>16</v>
      </c>
      <c r="B17" t="s">
        <v>52</v>
      </c>
      <c r="C17" t="s">
        <v>55</v>
      </c>
      <c r="D17" t="s">
        <v>56</v>
      </c>
      <c r="E17" t="s">
        <v>20</v>
      </c>
      <c r="F17" s="2">
        <v>104614286</v>
      </c>
    </row>
    <row r="18" spans="1:6" x14ac:dyDescent="0.3">
      <c r="A18">
        <v>17</v>
      </c>
      <c r="B18" t="s">
        <v>57</v>
      </c>
      <c r="C18" t="s">
        <v>58</v>
      </c>
      <c r="D18" t="s">
        <v>59</v>
      </c>
      <c r="E18" t="s">
        <v>20</v>
      </c>
      <c r="F18" s="2">
        <v>93255553</v>
      </c>
    </row>
    <row r="19" spans="1:6" x14ac:dyDescent="0.3">
      <c r="A19">
        <v>18</v>
      </c>
      <c r="B19" t="s">
        <v>57</v>
      </c>
      <c r="C19" t="s">
        <v>60</v>
      </c>
      <c r="D19" t="s">
        <v>61</v>
      </c>
      <c r="E19" t="s">
        <v>17</v>
      </c>
      <c r="F19" s="2">
        <v>81843975</v>
      </c>
    </row>
    <row r="20" spans="1:6" x14ac:dyDescent="0.3">
      <c r="A20">
        <v>19</v>
      </c>
      <c r="B20" t="s">
        <v>62</v>
      </c>
      <c r="C20" t="s">
        <v>63</v>
      </c>
      <c r="D20" t="s">
        <v>64</v>
      </c>
      <c r="E20" t="s">
        <v>20</v>
      </c>
      <c r="F20" s="2">
        <v>91505290</v>
      </c>
    </row>
    <row r="21" spans="1:6" x14ac:dyDescent="0.3">
      <c r="A21">
        <v>20</v>
      </c>
      <c r="B21" t="s">
        <v>62</v>
      </c>
      <c r="C21" t="s">
        <v>65</v>
      </c>
      <c r="D21" t="s">
        <v>66</v>
      </c>
      <c r="E21" t="s">
        <v>24</v>
      </c>
      <c r="F21" s="2">
        <v>106396735</v>
      </c>
    </row>
    <row r="22" spans="1:6" x14ac:dyDescent="0.3">
      <c r="A22">
        <v>21</v>
      </c>
      <c r="B22" t="s">
        <v>67</v>
      </c>
      <c r="C22" t="s">
        <v>68</v>
      </c>
      <c r="D22" t="s">
        <v>69</v>
      </c>
      <c r="E22" t="s">
        <v>17</v>
      </c>
      <c r="F22" s="2">
        <v>119632296</v>
      </c>
    </row>
    <row r="23" spans="1:6" x14ac:dyDescent="0.3">
      <c r="A23">
        <v>22</v>
      </c>
      <c r="B23" t="s">
        <v>67</v>
      </c>
      <c r="C23" t="s">
        <v>70</v>
      </c>
      <c r="D23" t="s">
        <v>71</v>
      </c>
      <c r="E23" t="s">
        <v>17</v>
      </c>
      <c r="F23" s="2">
        <v>120057448</v>
      </c>
    </row>
    <row r="24" spans="1:6" x14ac:dyDescent="0.3">
      <c r="A24">
        <v>23</v>
      </c>
      <c r="B24" t="s">
        <v>72</v>
      </c>
      <c r="C24" t="s">
        <v>73</v>
      </c>
      <c r="D24" t="s">
        <v>74</v>
      </c>
      <c r="E24" t="s">
        <v>17</v>
      </c>
      <c r="F24" s="2">
        <v>82390172</v>
      </c>
    </row>
    <row r="25" spans="1:6" x14ac:dyDescent="0.3">
      <c r="A25">
        <v>24</v>
      </c>
      <c r="B25" t="s">
        <v>72</v>
      </c>
      <c r="C25" t="s">
        <v>75</v>
      </c>
      <c r="D25" t="s">
        <v>76</v>
      </c>
      <c r="E25" t="s">
        <v>20</v>
      </c>
      <c r="F25" s="2">
        <v>89213319</v>
      </c>
    </row>
    <row r="26" spans="1:6" x14ac:dyDescent="0.3">
      <c r="A26">
        <v>25</v>
      </c>
      <c r="B26" t="s">
        <v>77</v>
      </c>
      <c r="C26" t="s">
        <v>78</v>
      </c>
      <c r="D26" t="s">
        <v>79</v>
      </c>
      <c r="E26" t="s">
        <v>24</v>
      </c>
      <c r="F26" s="2">
        <v>113780174</v>
      </c>
    </row>
    <row r="27" spans="1:6" x14ac:dyDescent="0.3">
      <c r="A27">
        <v>26</v>
      </c>
      <c r="B27" t="s">
        <v>77</v>
      </c>
      <c r="C27" t="s">
        <v>80</v>
      </c>
      <c r="D27" t="s">
        <v>81</v>
      </c>
      <c r="E27" t="s">
        <v>20</v>
      </c>
      <c r="F27" s="2">
        <v>89542731</v>
      </c>
    </row>
    <row r="28" spans="1:6" x14ac:dyDescent="0.3">
      <c r="A28">
        <v>27</v>
      </c>
      <c r="B28" t="s">
        <v>82</v>
      </c>
      <c r="C28" t="s">
        <v>83</v>
      </c>
      <c r="D28" t="s">
        <v>84</v>
      </c>
      <c r="E28" t="s">
        <v>17</v>
      </c>
      <c r="F28" s="2">
        <v>105410109</v>
      </c>
    </row>
    <row r="29" spans="1:6" x14ac:dyDescent="0.3">
      <c r="A29">
        <v>28</v>
      </c>
      <c r="B29" t="s">
        <v>82</v>
      </c>
      <c r="C29" t="s">
        <v>85</v>
      </c>
      <c r="D29" t="s">
        <v>86</v>
      </c>
      <c r="E29" t="s">
        <v>20</v>
      </c>
      <c r="F29" s="2">
        <v>106240319</v>
      </c>
    </row>
    <row r="30" spans="1:6" x14ac:dyDescent="0.3">
      <c r="A30">
        <v>29</v>
      </c>
      <c r="B30" t="s">
        <v>87</v>
      </c>
      <c r="C30" t="s">
        <v>88</v>
      </c>
      <c r="D30" t="s">
        <v>89</v>
      </c>
      <c r="E30" t="s">
        <v>24</v>
      </c>
      <c r="F30" s="2">
        <v>84068374</v>
      </c>
    </row>
    <row r="31" spans="1:6" x14ac:dyDescent="0.3">
      <c r="A31">
        <v>30</v>
      </c>
      <c r="B31" t="s">
        <v>87</v>
      </c>
      <c r="C31" t="s">
        <v>90</v>
      </c>
      <c r="D31" t="s">
        <v>91</v>
      </c>
      <c r="E31" t="s">
        <v>20</v>
      </c>
      <c r="F31" s="2">
        <v>118445845</v>
      </c>
    </row>
    <row r="32" spans="1:6" x14ac:dyDescent="0.3">
      <c r="A32">
        <v>31</v>
      </c>
      <c r="B32" t="s">
        <v>92</v>
      </c>
      <c r="C32" t="s">
        <v>93</v>
      </c>
      <c r="D32" t="s">
        <v>94</v>
      </c>
      <c r="E32" t="s">
        <v>17</v>
      </c>
      <c r="F32" s="2">
        <v>93688480</v>
      </c>
    </row>
    <row r="33" spans="1:6" x14ac:dyDescent="0.3">
      <c r="A33">
        <v>32</v>
      </c>
      <c r="B33" t="s">
        <v>92</v>
      </c>
      <c r="C33" t="s">
        <v>95</v>
      </c>
      <c r="D33" t="s">
        <v>96</v>
      </c>
      <c r="E33" t="s">
        <v>20</v>
      </c>
      <c r="F33" s="2">
        <v>98477469</v>
      </c>
    </row>
    <row r="34" spans="1:6" x14ac:dyDescent="0.3">
      <c r="A34">
        <v>33</v>
      </c>
      <c r="B34" t="s">
        <v>97</v>
      </c>
      <c r="C34" t="s">
        <v>98</v>
      </c>
      <c r="D34" t="s">
        <v>99</v>
      </c>
      <c r="E34" t="s">
        <v>24</v>
      </c>
      <c r="F34" s="2">
        <v>99950328</v>
      </c>
    </row>
    <row r="35" spans="1:6" x14ac:dyDescent="0.3">
      <c r="A35">
        <v>34</v>
      </c>
      <c r="B35" t="s">
        <v>97</v>
      </c>
      <c r="C35" t="s">
        <v>100</v>
      </c>
      <c r="D35" t="s">
        <v>101</v>
      </c>
      <c r="E35" t="s">
        <v>20</v>
      </c>
      <c r="F35" s="2">
        <v>102534688</v>
      </c>
    </row>
    <row r="36" spans="1:6" x14ac:dyDescent="0.3">
      <c r="A36">
        <v>35</v>
      </c>
      <c r="B36" t="s">
        <v>102</v>
      </c>
      <c r="C36" t="s">
        <v>103</v>
      </c>
      <c r="D36" t="s">
        <v>104</v>
      </c>
      <c r="E36" t="s">
        <v>24</v>
      </c>
      <c r="F36" s="2">
        <v>100903711</v>
      </c>
    </row>
    <row r="37" spans="1:6" x14ac:dyDescent="0.3">
      <c r="A37">
        <v>36</v>
      </c>
      <c r="B37" t="s">
        <v>102</v>
      </c>
      <c r="C37" t="s">
        <v>105</v>
      </c>
      <c r="D37" t="s">
        <v>106</v>
      </c>
      <c r="E37" t="s">
        <v>20</v>
      </c>
      <c r="F37" s="2">
        <v>101878534</v>
      </c>
    </row>
    <row r="38" spans="1:6" x14ac:dyDescent="0.3">
      <c r="A38">
        <v>37</v>
      </c>
      <c r="B38" t="s">
        <v>107</v>
      </c>
      <c r="C38" t="s">
        <v>108</v>
      </c>
      <c r="D38" t="s">
        <v>109</v>
      </c>
      <c r="E38" t="s">
        <v>20</v>
      </c>
      <c r="F38" s="2">
        <v>85220126</v>
      </c>
    </row>
    <row r="39" spans="1:6" x14ac:dyDescent="0.3">
      <c r="A39">
        <v>38</v>
      </c>
      <c r="B39" t="s">
        <v>107</v>
      </c>
      <c r="C39" t="s">
        <v>110</v>
      </c>
      <c r="D39" t="s">
        <v>111</v>
      </c>
      <c r="E39" t="s">
        <v>17</v>
      </c>
      <c r="F39" s="2">
        <v>97896647</v>
      </c>
    </row>
    <row r="40" spans="1:6" x14ac:dyDescent="0.3">
      <c r="A40">
        <v>39</v>
      </c>
      <c r="B40" t="s">
        <v>112</v>
      </c>
      <c r="C40" t="s">
        <v>113</v>
      </c>
      <c r="D40" t="s">
        <v>114</v>
      </c>
      <c r="E40" t="s">
        <v>24</v>
      </c>
      <c r="F40" s="2">
        <v>82973914</v>
      </c>
    </row>
    <row r="41" spans="1:6" x14ac:dyDescent="0.3">
      <c r="A41">
        <v>40</v>
      </c>
      <c r="B41" t="s">
        <v>112</v>
      </c>
      <c r="C41" t="s">
        <v>115</v>
      </c>
      <c r="D41" t="s">
        <v>116</v>
      </c>
      <c r="E41" t="s">
        <v>20</v>
      </c>
      <c r="F41" s="2">
        <v>90781585</v>
      </c>
    </row>
    <row r="42" spans="1:6" x14ac:dyDescent="0.3">
      <c r="A42">
        <v>41</v>
      </c>
      <c r="B42" t="s">
        <v>117</v>
      </c>
      <c r="C42" t="s">
        <v>118</v>
      </c>
      <c r="D42" t="s">
        <v>119</v>
      </c>
      <c r="E42" t="s">
        <v>20</v>
      </c>
      <c r="F42" s="2">
        <v>81553053</v>
      </c>
    </row>
    <row r="43" spans="1:6" x14ac:dyDescent="0.3">
      <c r="A43">
        <v>42</v>
      </c>
      <c r="B43" t="s">
        <v>117</v>
      </c>
      <c r="C43" t="s">
        <v>120</v>
      </c>
      <c r="D43" t="s">
        <v>121</v>
      </c>
      <c r="E43" t="s">
        <v>24</v>
      </c>
      <c r="F43" s="2">
        <v>111863783</v>
      </c>
    </row>
    <row r="44" spans="1:6" x14ac:dyDescent="0.3">
      <c r="A44">
        <v>43</v>
      </c>
      <c r="B44" t="s">
        <v>122</v>
      </c>
      <c r="C44" t="s">
        <v>123</v>
      </c>
      <c r="D44" t="s">
        <v>124</v>
      </c>
      <c r="E44" t="s">
        <v>24</v>
      </c>
      <c r="F44" s="2">
        <v>89829637</v>
      </c>
    </row>
    <row r="45" spans="1:6" x14ac:dyDescent="0.3">
      <c r="A45">
        <v>44</v>
      </c>
      <c r="B45" t="s">
        <v>122</v>
      </c>
      <c r="C45" t="s">
        <v>125</v>
      </c>
      <c r="D45" t="s">
        <v>126</v>
      </c>
      <c r="E45" t="s">
        <v>24</v>
      </c>
      <c r="F45" s="2">
        <v>87340375</v>
      </c>
    </row>
    <row r="46" spans="1:6" x14ac:dyDescent="0.3">
      <c r="A46">
        <v>45</v>
      </c>
      <c r="B46" t="s">
        <v>127</v>
      </c>
      <c r="C46" t="s">
        <v>128</v>
      </c>
      <c r="D46" t="s">
        <v>129</v>
      </c>
      <c r="E46" t="s">
        <v>20</v>
      </c>
      <c r="F46" s="2">
        <v>101048613</v>
      </c>
    </row>
    <row r="47" spans="1:6" x14ac:dyDescent="0.3">
      <c r="A47">
        <v>46</v>
      </c>
      <c r="B47" t="s">
        <v>127</v>
      </c>
      <c r="C47" t="s">
        <v>130</v>
      </c>
      <c r="D47" t="s">
        <v>131</v>
      </c>
      <c r="E47" t="s">
        <v>24</v>
      </c>
      <c r="F47" s="2">
        <v>113060530</v>
      </c>
    </row>
    <row r="48" spans="1:6" x14ac:dyDescent="0.3">
      <c r="A48">
        <v>47</v>
      </c>
      <c r="B48" t="s">
        <v>132</v>
      </c>
      <c r="C48" t="s">
        <v>133</v>
      </c>
      <c r="D48" t="s">
        <v>134</v>
      </c>
      <c r="E48" t="s">
        <v>17</v>
      </c>
      <c r="F48" s="2">
        <v>83165511</v>
      </c>
    </row>
    <row r="49" spans="1:6" x14ac:dyDescent="0.3">
      <c r="A49">
        <v>48</v>
      </c>
      <c r="B49" t="s">
        <v>132</v>
      </c>
      <c r="C49" t="s">
        <v>135</v>
      </c>
      <c r="D49" t="s">
        <v>136</v>
      </c>
      <c r="E49" t="s">
        <v>20</v>
      </c>
      <c r="F49" s="2">
        <v>95289976</v>
      </c>
    </row>
    <row r="50" spans="1:6" x14ac:dyDescent="0.3">
      <c r="A50">
        <v>49</v>
      </c>
      <c r="B50" t="s">
        <v>137</v>
      </c>
      <c r="C50" t="s">
        <v>138</v>
      </c>
      <c r="D50" t="s">
        <v>139</v>
      </c>
      <c r="E50" t="s">
        <v>17</v>
      </c>
      <c r="F50" s="2">
        <v>94396651</v>
      </c>
    </row>
    <row r="51" spans="1:6" x14ac:dyDescent="0.3">
      <c r="A51">
        <v>50</v>
      </c>
      <c r="B51" t="s">
        <v>137</v>
      </c>
      <c r="C51" t="s">
        <v>140</v>
      </c>
      <c r="D51" t="s">
        <v>141</v>
      </c>
      <c r="E51" t="s">
        <v>20</v>
      </c>
      <c r="F51" s="2">
        <v>233387972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/>
  </sheetViews>
  <sheetFormatPr defaultRowHeight="14.4" x14ac:dyDescent="0.3"/>
  <cols>
    <col min="2" max="2" width="15" customWidth="1"/>
    <col min="3" max="4" width="20" customWidth="1"/>
    <col min="5" max="5" width="15" customWidth="1"/>
    <col min="6" max="6" width="18" customWidth="1"/>
  </cols>
  <sheetData>
    <row r="1" spans="1:6" x14ac:dyDescent="0.3">
      <c r="A1" s="4" t="s">
        <v>8</v>
      </c>
      <c r="B1" s="4" t="s">
        <v>9</v>
      </c>
      <c r="C1" s="4" t="s">
        <v>142</v>
      </c>
      <c r="D1" s="4" t="s">
        <v>143</v>
      </c>
      <c r="E1" s="4" t="s">
        <v>144</v>
      </c>
      <c r="F1" s="4" t="s">
        <v>13</v>
      </c>
    </row>
    <row r="2" spans="1:6" x14ac:dyDescent="0.3">
      <c r="A2">
        <v>1</v>
      </c>
      <c r="B2" t="s">
        <v>127</v>
      </c>
      <c r="C2" t="s">
        <v>145</v>
      </c>
      <c r="D2" t="s">
        <v>146</v>
      </c>
      <c r="E2" t="s">
        <v>147</v>
      </c>
      <c r="F2" s="2">
        <v>430500000</v>
      </c>
    </row>
    <row r="3" spans="1:6" x14ac:dyDescent="0.3">
      <c r="A3">
        <v>2</v>
      </c>
      <c r="B3" t="s">
        <v>97</v>
      </c>
      <c r="C3" t="s">
        <v>148</v>
      </c>
      <c r="D3" t="s">
        <v>149</v>
      </c>
      <c r="E3" t="s">
        <v>147</v>
      </c>
      <c r="F3" s="2">
        <v>430500000</v>
      </c>
    </row>
    <row r="4" spans="1:6" x14ac:dyDescent="0.3">
      <c r="A4">
        <v>3</v>
      </c>
      <c r="B4" t="s">
        <v>47</v>
      </c>
      <c r="C4" t="s">
        <v>150</v>
      </c>
      <c r="D4" t="s">
        <v>151</v>
      </c>
      <c r="E4" t="s">
        <v>147</v>
      </c>
      <c r="F4" s="2">
        <v>430500000</v>
      </c>
    </row>
    <row r="5" spans="1:6" x14ac:dyDescent="0.3">
      <c r="A5">
        <v>4</v>
      </c>
      <c r="B5" t="s">
        <v>32</v>
      </c>
      <c r="C5" t="s">
        <v>152</v>
      </c>
      <c r="D5" t="s">
        <v>153</v>
      </c>
      <c r="E5" t="s">
        <v>147</v>
      </c>
      <c r="F5" s="2">
        <v>430500000</v>
      </c>
    </row>
    <row r="6" spans="1:6" x14ac:dyDescent="0.3">
      <c r="A6">
        <v>5</v>
      </c>
      <c r="B6" t="s">
        <v>154</v>
      </c>
      <c r="C6" t="s">
        <v>155</v>
      </c>
      <c r="D6" t="s">
        <v>156</v>
      </c>
      <c r="E6" t="s">
        <v>147</v>
      </c>
      <c r="F6" s="2">
        <v>430500000</v>
      </c>
    </row>
    <row r="7" spans="1:6" x14ac:dyDescent="0.3">
      <c r="A7">
        <v>6</v>
      </c>
      <c r="B7" t="s">
        <v>117</v>
      </c>
      <c r="C7" t="s">
        <v>157</v>
      </c>
      <c r="D7" t="s">
        <v>158</v>
      </c>
      <c r="E7" t="s">
        <v>159</v>
      </c>
      <c r="F7" s="2">
        <v>150000000</v>
      </c>
    </row>
    <row r="8" spans="1:6" x14ac:dyDescent="0.3">
      <c r="A8">
        <v>7</v>
      </c>
      <c r="B8" t="s">
        <v>137</v>
      </c>
      <c r="C8" t="s">
        <v>160</v>
      </c>
      <c r="D8" t="s">
        <v>161</v>
      </c>
      <c r="E8" t="s">
        <v>162</v>
      </c>
      <c r="F8" s="2">
        <v>450000000</v>
      </c>
    </row>
    <row r="9" spans="1:6" x14ac:dyDescent="0.3">
      <c r="A9">
        <v>8</v>
      </c>
      <c r="B9" t="s">
        <v>122</v>
      </c>
      <c r="C9" t="s">
        <v>163</v>
      </c>
      <c r="D9" t="s">
        <v>164</v>
      </c>
      <c r="E9" t="s">
        <v>165</v>
      </c>
      <c r="F9" s="2">
        <v>150000000</v>
      </c>
    </row>
    <row r="10" spans="1:6" x14ac:dyDescent="0.3">
      <c r="A10">
        <v>9</v>
      </c>
      <c r="B10" t="s">
        <v>166</v>
      </c>
      <c r="C10" t="s">
        <v>167</v>
      </c>
      <c r="D10" t="s">
        <v>168</v>
      </c>
      <c r="E10" t="s">
        <v>169</v>
      </c>
      <c r="F10" s="2">
        <v>4302383.8571428573</v>
      </c>
    </row>
    <row r="11" spans="1:6" x14ac:dyDescent="0.3">
      <c r="A11">
        <v>10</v>
      </c>
      <c r="B11" t="s">
        <v>42</v>
      </c>
      <c r="C11" t="s">
        <v>170</v>
      </c>
      <c r="D11" t="s">
        <v>168</v>
      </c>
      <c r="E11" t="s">
        <v>169</v>
      </c>
      <c r="F11" s="2">
        <v>4475387.8571428573</v>
      </c>
    </row>
    <row r="12" spans="1:6" x14ac:dyDescent="0.3">
      <c r="A12">
        <v>11</v>
      </c>
      <c r="B12" t="s">
        <v>137</v>
      </c>
      <c r="C12" t="s">
        <v>171</v>
      </c>
      <c r="D12" t="s">
        <v>168</v>
      </c>
      <c r="E12" t="s">
        <v>169</v>
      </c>
      <c r="F12" s="2">
        <v>4596076.8571428573</v>
      </c>
    </row>
    <row r="13" spans="1:6" x14ac:dyDescent="0.3">
      <c r="A13">
        <v>12</v>
      </c>
      <c r="B13" t="s">
        <v>57</v>
      </c>
      <c r="C13" t="s">
        <v>172</v>
      </c>
      <c r="D13" t="s">
        <v>168</v>
      </c>
      <c r="E13" t="s">
        <v>169</v>
      </c>
      <c r="F13" s="2">
        <v>3709922.8571428568</v>
      </c>
    </row>
    <row r="14" spans="1:6" x14ac:dyDescent="0.3">
      <c r="A14">
        <v>13</v>
      </c>
      <c r="B14" t="s">
        <v>102</v>
      </c>
      <c r="C14" t="s">
        <v>173</v>
      </c>
      <c r="D14" t="s">
        <v>168</v>
      </c>
      <c r="E14" t="s">
        <v>169</v>
      </c>
      <c r="F14" s="2">
        <v>5966541.8571428573</v>
      </c>
    </row>
    <row r="15" spans="1:6" x14ac:dyDescent="0.3">
      <c r="A15">
        <v>14</v>
      </c>
      <c r="B15" t="s">
        <v>127</v>
      </c>
      <c r="C15" t="s">
        <v>174</v>
      </c>
      <c r="D15" t="s">
        <v>168</v>
      </c>
      <c r="E15" t="s">
        <v>169</v>
      </c>
      <c r="F15" s="2">
        <v>2345411.8571428568</v>
      </c>
    </row>
    <row r="16" spans="1:6" x14ac:dyDescent="0.3">
      <c r="A16">
        <v>15</v>
      </c>
      <c r="B16" t="s">
        <v>137</v>
      </c>
      <c r="C16" t="s">
        <v>175</v>
      </c>
      <c r="D16" t="s">
        <v>168</v>
      </c>
      <c r="E16" t="s">
        <v>169</v>
      </c>
      <c r="F16" s="2">
        <v>2924606.8571428568</v>
      </c>
    </row>
    <row r="17" spans="1:6" x14ac:dyDescent="0.3">
      <c r="A17">
        <v>16</v>
      </c>
      <c r="B17" t="s">
        <v>87</v>
      </c>
      <c r="C17" t="s">
        <v>176</v>
      </c>
      <c r="D17" t="s">
        <v>168</v>
      </c>
      <c r="E17" t="s">
        <v>169</v>
      </c>
      <c r="F17" s="2">
        <v>3754098.8571428568</v>
      </c>
    </row>
    <row r="18" spans="1:6" x14ac:dyDescent="0.3">
      <c r="A18">
        <v>17</v>
      </c>
      <c r="B18" t="s">
        <v>177</v>
      </c>
      <c r="C18" t="s">
        <v>178</v>
      </c>
      <c r="D18" t="s">
        <v>168</v>
      </c>
      <c r="E18" t="s">
        <v>169</v>
      </c>
      <c r="F18" s="2">
        <v>5868093.8571428573</v>
      </c>
    </row>
    <row r="19" spans="1:6" x14ac:dyDescent="0.3">
      <c r="A19">
        <v>18</v>
      </c>
      <c r="B19" t="s">
        <v>67</v>
      </c>
      <c r="C19" t="s">
        <v>179</v>
      </c>
      <c r="D19" t="s">
        <v>168</v>
      </c>
      <c r="E19" t="s">
        <v>169</v>
      </c>
      <c r="F19" s="2">
        <v>5742303.8571428573</v>
      </c>
    </row>
    <row r="20" spans="1:6" x14ac:dyDescent="0.3">
      <c r="A20">
        <v>19</v>
      </c>
      <c r="B20" t="s">
        <v>77</v>
      </c>
      <c r="C20" t="s">
        <v>180</v>
      </c>
      <c r="D20" t="s">
        <v>168</v>
      </c>
      <c r="E20" t="s">
        <v>169</v>
      </c>
      <c r="F20" s="2">
        <v>5668033.8571428573</v>
      </c>
    </row>
    <row r="21" spans="1:6" x14ac:dyDescent="0.3">
      <c r="A21">
        <v>20</v>
      </c>
      <c r="B21" t="s">
        <v>27</v>
      </c>
      <c r="C21" t="s">
        <v>181</v>
      </c>
      <c r="D21" t="s">
        <v>168</v>
      </c>
      <c r="E21" t="s">
        <v>169</v>
      </c>
      <c r="F21" s="2">
        <v>2564136.8571428568</v>
      </c>
    </row>
    <row r="22" spans="1:6" x14ac:dyDescent="0.3">
      <c r="A22">
        <v>21</v>
      </c>
      <c r="B22" t="s">
        <v>67</v>
      </c>
      <c r="C22" t="s">
        <v>182</v>
      </c>
      <c r="D22" t="s">
        <v>168</v>
      </c>
      <c r="E22" t="s">
        <v>169</v>
      </c>
      <c r="F22" s="2">
        <v>4619136.8571428573</v>
      </c>
    </row>
    <row r="23" spans="1:6" x14ac:dyDescent="0.3">
      <c r="A23">
        <v>22</v>
      </c>
      <c r="B23" t="s">
        <v>42</v>
      </c>
      <c r="C23" t="s">
        <v>183</v>
      </c>
      <c r="D23" t="s">
        <v>168</v>
      </c>
      <c r="E23" t="s">
        <v>169</v>
      </c>
      <c r="F23" s="2">
        <v>3965814.8571428568</v>
      </c>
    </row>
    <row r="24" spans="1:6" x14ac:dyDescent="0.3">
      <c r="A24">
        <v>23</v>
      </c>
      <c r="B24" t="s">
        <v>107</v>
      </c>
      <c r="C24" t="s">
        <v>184</v>
      </c>
      <c r="D24" t="s">
        <v>168</v>
      </c>
      <c r="E24" t="s">
        <v>169</v>
      </c>
      <c r="F24" s="2">
        <v>4880141.8571428573</v>
      </c>
    </row>
    <row r="25" spans="1:6" x14ac:dyDescent="0.3">
      <c r="A25">
        <v>24</v>
      </c>
      <c r="B25" t="s">
        <v>97</v>
      </c>
      <c r="C25" t="s">
        <v>185</v>
      </c>
      <c r="D25" t="s">
        <v>168</v>
      </c>
      <c r="E25" t="s">
        <v>169</v>
      </c>
      <c r="F25" s="2">
        <v>2794409.8571428568</v>
      </c>
    </row>
    <row r="26" spans="1:6" x14ac:dyDescent="0.3">
      <c r="A26">
        <v>25</v>
      </c>
      <c r="B26" t="s">
        <v>92</v>
      </c>
      <c r="C26" t="s">
        <v>186</v>
      </c>
      <c r="D26" t="s">
        <v>168</v>
      </c>
      <c r="E26" t="s">
        <v>169</v>
      </c>
      <c r="F26" s="2">
        <v>2335168.8571428568</v>
      </c>
    </row>
    <row r="27" spans="1:6" x14ac:dyDescent="0.3">
      <c r="A27">
        <v>26</v>
      </c>
      <c r="B27" t="s">
        <v>14</v>
      </c>
      <c r="C27" t="s">
        <v>187</v>
      </c>
      <c r="D27" t="s">
        <v>168</v>
      </c>
      <c r="E27" t="s">
        <v>169</v>
      </c>
      <c r="F27" s="2">
        <v>5066253.8571428573</v>
      </c>
    </row>
    <row r="28" spans="1:6" x14ac:dyDescent="0.3">
      <c r="A28">
        <v>27</v>
      </c>
      <c r="B28" t="s">
        <v>72</v>
      </c>
      <c r="C28" t="s">
        <v>188</v>
      </c>
      <c r="D28" t="s">
        <v>168</v>
      </c>
      <c r="E28" t="s">
        <v>169</v>
      </c>
      <c r="F28" s="2">
        <v>4512429.8571428573</v>
      </c>
    </row>
    <row r="29" spans="1:6" x14ac:dyDescent="0.3">
      <c r="A29">
        <v>28</v>
      </c>
      <c r="B29" t="s">
        <v>127</v>
      </c>
      <c r="C29" t="s">
        <v>189</v>
      </c>
      <c r="D29" t="s">
        <v>168</v>
      </c>
      <c r="E29" t="s">
        <v>169</v>
      </c>
      <c r="F29" s="2">
        <v>5524778.8571428573</v>
      </c>
    </row>
    <row r="30" spans="1:6" x14ac:dyDescent="0.3">
      <c r="A30">
        <v>29</v>
      </c>
      <c r="B30" t="s">
        <v>166</v>
      </c>
      <c r="C30" t="s">
        <v>190</v>
      </c>
      <c r="D30" t="s">
        <v>168</v>
      </c>
      <c r="E30" t="s">
        <v>169</v>
      </c>
      <c r="F30" s="2">
        <v>5248769.8571428573</v>
      </c>
    </row>
    <row r="31" spans="1:6" x14ac:dyDescent="0.3">
      <c r="A31">
        <v>30</v>
      </c>
      <c r="B31" t="s">
        <v>127</v>
      </c>
      <c r="C31" t="s">
        <v>191</v>
      </c>
      <c r="D31" t="s">
        <v>168</v>
      </c>
      <c r="E31" t="s">
        <v>169</v>
      </c>
      <c r="F31" s="2">
        <v>3230651.8571428568</v>
      </c>
    </row>
    <row r="32" spans="1:6" x14ac:dyDescent="0.3">
      <c r="A32">
        <v>31</v>
      </c>
      <c r="B32" t="s">
        <v>117</v>
      </c>
      <c r="C32" t="s">
        <v>192</v>
      </c>
      <c r="D32" t="s">
        <v>168</v>
      </c>
      <c r="E32" t="s">
        <v>169</v>
      </c>
      <c r="F32" s="2">
        <v>3060498.8571428568</v>
      </c>
    </row>
    <row r="33" spans="1:6" x14ac:dyDescent="0.3">
      <c r="A33">
        <v>32</v>
      </c>
      <c r="B33" t="s">
        <v>107</v>
      </c>
      <c r="C33" t="s">
        <v>193</v>
      </c>
      <c r="D33" t="s">
        <v>168</v>
      </c>
      <c r="E33" t="s">
        <v>169</v>
      </c>
      <c r="F33" s="2">
        <v>5652514.8571428573</v>
      </c>
    </row>
    <row r="34" spans="1:6" x14ac:dyDescent="0.3">
      <c r="A34">
        <v>33</v>
      </c>
      <c r="B34" t="s">
        <v>107</v>
      </c>
      <c r="C34" t="s">
        <v>194</v>
      </c>
      <c r="D34" t="s">
        <v>168</v>
      </c>
      <c r="E34" t="s">
        <v>169</v>
      </c>
      <c r="F34" s="2">
        <v>5605454.8571428573</v>
      </c>
    </row>
    <row r="35" spans="1:6" x14ac:dyDescent="0.3">
      <c r="A35">
        <v>34</v>
      </c>
      <c r="B35" t="s">
        <v>47</v>
      </c>
      <c r="C35" t="s">
        <v>195</v>
      </c>
      <c r="D35" t="s">
        <v>168</v>
      </c>
      <c r="E35" t="s">
        <v>169</v>
      </c>
      <c r="F35" s="2">
        <v>5607410.8571428573</v>
      </c>
    </row>
    <row r="36" spans="1:6" x14ac:dyDescent="0.3">
      <c r="A36">
        <v>35</v>
      </c>
      <c r="B36" t="s">
        <v>97</v>
      </c>
      <c r="C36" t="s">
        <v>196</v>
      </c>
      <c r="D36" t="s">
        <v>168</v>
      </c>
      <c r="E36" t="s">
        <v>169</v>
      </c>
      <c r="F36" s="2">
        <v>4008161.8571428568</v>
      </c>
    </row>
    <row r="37" spans="1:6" x14ac:dyDescent="0.3">
      <c r="A37">
        <v>36</v>
      </c>
      <c r="B37" t="s">
        <v>166</v>
      </c>
      <c r="C37" t="s">
        <v>197</v>
      </c>
      <c r="D37" t="s">
        <v>168</v>
      </c>
      <c r="E37" t="s">
        <v>169</v>
      </c>
      <c r="F37" s="2">
        <v>5755155.8571428573</v>
      </c>
    </row>
    <row r="38" spans="1:6" x14ac:dyDescent="0.3">
      <c r="A38">
        <v>37</v>
      </c>
      <c r="B38" t="s">
        <v>97</v>
      </c>
      <c r="C38" t="s">
        <v>198</v>
      </c>
      <c r="D38" t="s">
        <v>168</v>
      </c>
      <c r="E38" t="s">
        <v>169</v>
      </c>
      <c r="F38" s="2">
        <v>5717156.8571428573</v>
      </c>
    </row>
    <row r="39" spans="1:6" x14ac:dyDescent="0.3">
      <c r="A39">
        <v>38</v>
      </c>
      <c r="B39" t="s">
        <v>199</v>
      </c>
      <c r="C39" t="s">
        <v>200</v>
      </c>
      <c r="D39" t="s">
        <v>168</v>
      </c>
      <c r="E39" t="s">
        <v>169</v>
      </c>
      <c r="F39" s="2">
        <v>2376929.8571428568</v>
      </c>
    </row>
    <row r="40" spans="1:6" x14ac:dyDescent="0.3">
      <c r="A40">
        <v>39</v>
      </c>
      <c r="B40" t="s">
        <v>62</v>
      </c>
      <c r="C40" t="s">
        <v>201</v>
      </c>
      <c r="D40" t="s">
        <v>168</v>
      </c>
      <c r="E40" t="s">
        <v>169</v>
      </c>
      <c r="F40" s="2">
        <v>3557761.8571428568</v>
      </c>
    </row>
    <row r="41" spans="1:6" x14ac:dyDescent="0.3">
      <c r="A41">
        <v>40</v>
      </c>
      <c r="B41" t="s">
        <v>102</v>
      </c>
      <c r="C41" t="s">
        <v>202</v>
      </c>
      <c r="D41" t="s">
        <v>168</v>
      </c>
      <c r="E41" t="s">
        <v>169</v>
      </c>
      <c r="F41" s="2">
        <v>4805379.8571428573</v>
      </c>
    </row>
    <row r="42" spans="1:6" x14ac:dyDescent="0.3">
      <c r="A42">
        <v>41</v>
      </c>
      <c r="B42" t="s">
        <v>87</v>
      </c>
      <c r="C42" t="s">
        <v>203</v>
      </c>
      <c r="D42" t="s">
        <v>168</v>
      </c>
      <c r="E42" t="s">
        <v>169</v>
      </c>
      <c r="F42" s="2">
        <v>4440858.8571428573</v>
      </c>
    </row>
    <row r="43" spans="1:6" x14ac:dyDescent="0.3">
      <c r="A43">
        <v>42</v>
      </c>
      <c r="B43" t="s">
        <v>57</v>
      </c>
      <c r="C43" t="s">
        <v>204</v>
      </c>
      <c r="D43" t="s">
        <v>168</v>
      </c>
      <c r="E43" t="s">
        <v>169</v>
      </c>
      <c r="F43" s="2">
        <v>3520051.8571428568</v>
      </c>
    </row>
    <row r="44" spans="1:6" x14ac:dyDescent="0.3">
      <c r="A44">
        <v>43</v>
      </c>
      <c r="B44" t="s">
        <v>205</v>
      </c>
      <c r="C44" t="s">
        <v>206</v>
      </c>
      <c r="D44" t="s">
        <v>168</v>
      </c>
      <c r="E44" t="s">
        <v>169</v>
      </c>
      <c r="F44" s="2">
        <v>4366952.8571428573</v>
      </c>
    </row>
    <row r="45" spans="1:6" x14ac:dyDescent="0.3">
      <c r="A45">
        <v>44</v>
      </c>
      <c r="B45" t="s">
        <v>127</v>
      </c>
      <c r="C45" t="s">
        <v>207</v>
      </c>
      <c r="D45" t="s">
        <v>168</v>
      </c>
      <c r="E45" t="s">
        <v>169</v>
      </c>
      <c r="F45" s="2">
        <v>3847151.8571428568</v>
      </c>
    </row>
    <row r="46" spans="1:6" x14ac:dyDescent="0.3">
      <c r="A46">
        <v>45</v>
      </c>
      <c r="B46" t="s">
        <v>21</v>
      </c>
      <c r="C46" t="s">
        <v>208</v>
      </c>
      <c r="D46" t="s">
        <v>168</v>
      </c>
      <c r="E46" t="s">
        <v>169</v>
      </c>
      <c r="F46" s="2">
        <v>3103863.8571428568</v>
      </c>
    </row>
    <row r="47" spans="1:6" x14ac:dyDescent="0.3">
      <c r="A47">
        <v>46</v>
      </c>
      <c r="B47" t="s">
        <v>27</v>
      </c>
      <c r="C47" t="s">
        <v>209</v>
      </c>
      <c r="D47" t="s">
        <v>168</v>
      </c>
      <c r="E47" t="s">
        <v>169</v>
      </c>
      <c r="F47" s="2">
        <v>3618302.8571428568</v>
      </c>
    </row>
    <row r="48" spans="1:6" x14ac:dyDescent="0.3">
      <c r="A48">
        <v>47</v>
      </c>
      <c r="B48" t="s">
        <v>205</v>
      </c>
      <c r="C48" t="s">
        <v>210</v>
      </c>
      <c r="D48" t="s">
        <v>168</v>
      </c>
      <c r="E48" t="s">
        <v>169</v>
      </c>
      <c r="F48" s="2">
        <v>3246424.8571428568</v>
      </c>
    </row>
    <row r="49" spans="1:6" x14ac:dyDescent="0.3">
      <c r="A49">
        <v>48</v>
      </c>
      <c r="B49" t="s">
        <v>117</v>
      </c>
      <c r="C49" t="s">
        <v>211</v>
      </c>
      <c r="D49" t="s">
        <v>168</v>
      </c>
      <c r="E49" t="s">
        <v>169</v>
      </c>
      <c r="F49" s="2">
        <v>2918766.8571428568</v>
      </c>
    </row>
    <row r="50" spans="1:6" x14ac:dyDescent="0.3">
      <c r="A50">
        <v>49</v>
      </c>
      <c r="B50" t="s">
        <v>57</v>
      </c>
      <c r="C50" t="s">
        <v>212</v>
      </c>
      <c r="D50" t="s">
        <v>168</v>
      </c>
      <c r="E50" t="s">
        <v>169</v>
      </c>
      <c r="F50" s="2">
        <v>3293519.8571428568</v>
      </c>
    </row>
    <row r="51" spans="1:6" x14ac:dyDescent="0.3">
      <c r="A51">
        <v>50</v>
      </c>
      <c r="B51" t="s">
        <v>47</v>
      </c>
      <c r="C51" t="s">
        <v>213</v>
      </c>
      <c r="D51" t="s">
        <v>168</v>
      </c>
      <c r="E51" t="s">
        <v>169</v>
      </c>
      <c r="F51" s="2">
        <v>3190433.8571428568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hợp</vt:lpstr>
      <vt:lpstr>Doanh Thu (Thu)</vt:lpstr>
      <vt:lpstr>Chi Phí (Chi)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IT-Huy</cp:lastModifiedBy>
  <dcterms:created xsi:type="dcterms:W3CDTF">2026-05-05T06:55:56Z</dcterms:created>
  <dcterms:modified xsi:type="dcterms:W3CDTF">2026-05-05T07:04:02Z</dcterms:modified>
</cp:coreProperties>
</file>